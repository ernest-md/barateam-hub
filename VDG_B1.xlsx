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nestGladiadorValde\Documents\barateam-hub\"/>
    </mc:Choice>
  </mc:AlternateContent>
  <xr:revisionPtr revIDLastSave="0" documentId="13_ncr:1_{91A48358-28D8-4A86-90BB-C815FB0FDEE2}" xr6:coauthVersionLast="47" xr6:coauthVersionMax="47" xr10:uidLastSave="{00000000-0000-0000-0000-000000000000}"/>
  <bookViews>
    <workbookView xWindow="-28920" yWindow="-6900" windowWidth="29040" windowHeight="15720" xr2:uid="{00000000-000D-0000-FFFF-FFFF00000000}"/>
  </bookViews>
  <sheets>
    <sheet name="Banner 1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C7" i="2"/>
  <c r="F6" i="2"/>
  <c r="C6" i="2"/>
  <c r="F5" i="2"/>
  <c r="C5" i="2"/>
  <c r="F4" i="2"/>
  <c r="C4" i="2"/>
  <c r="C8" i="2" l="1"/>
</calcChain>
</file>

<file path=xl/sharedStrings.xml><?xml version="1.0" encoding="utf-8"?>
<sst xmlns="http://schemas.openxmlformats.org/spreadsheetml/2006/main" count="274" uniqueCount="132">
  <si>
    <t>VaDeGacha — Banner 1</t>
  </si>
  <si>
    <t>Listado base: completa las columnas Nombre y Efecto.</t>
  </si>
  <si>
    <t>ID</t>
  </si>
  <si>
    <t>Tipo</t>
  </si>
  <si>
    <t>Categoría / slot</t>
  </si>
  <si>
    <t>Tier</t>
  </si>
  <si>
    <t>Nombre</t>
  </si>
  <si>
    <t>Efecto</t>
  </si>
  <si>
    <t>EQ-OF-BR-01</t>
  </si>
  <si>
    <t>Equipable</t>
  </si>
  <si>
    <t>Ofensivo</t>
  </si>
  <si>
    <t>Bronce</t>
  </si>
  <si>
    <t>EQ-OF-BR-02</t>
  </si>
  <si>
    <t>EQ-OF-BR-03</t>
  </si>
  <si>
    <t>EQ-OF-BR-04</t>
  </si>
  <si>
    <t>EQ-OF-PL-01</t>
  </si>
  <si>
    <t>Plata</t>
  </si>
  <si>
    <t>EQ-OF-PL-02</t>
  </si>
  <si>
    <t>EQ-OF-OR-01</t>
  </si>
  <si>
    <t>Oro</t>
  </si>
  <si>
    <t>EQ-OF-DI-01</t>
  </si>
  <si>
    <t>Diamante</t>
  </si>
  <si>
    <t>EQ-DE-BR-01</t>
  </si>
  <si>
    <t>Defensivo</t>
  </si>
  <si>
    <t>EQ-DE-BR-02</t>
  </si>
  <si>
    <t>EQ-DE-BR-03</t>
  </si>
  <si>
    <t>EQ-DE-PL-01</t>
  </si>
  <si>
    <t>EQ-DE-PL-02</t>
  </si>
  <si>
    <t>EQ-DE-PL-03</t>
  </si>
  <si>
    <t>EQ-DE-OR-01</t>
  </si>
  <si>
    <t>EQ-DE-OR-02</t>
  </si>
  <si>
    <t>EQ-ME-BR-01</t>
  </si>
  <si>
    <t>Meme / utilidad</t>
  </si>
  <si>
    <t>EQ-ME-BR-02</t>
  </si>
  <si>
    <t>EQ-ME-BR-03</t>
  </si>
  <si>
    <t>EQ-ME-PL-01</t>
  </si>
  <si>
    <t>EQ-ME-PL-02</t>
  </si>
  <si>
    <t>EQ-ME-PL-03</t>
  </si>
  <si>
    <t>EQ-ME-OR-01</t>
  </si>
  <si>
    <t>EQ-ME-OR-02</t>
  </si>
  <si>
    <t>SK-BR-01</t>
  </si>
  <si>
    <t>Skin</t>
  </si>
  <si>
    <t>Skin visual</t>
  </si>
  <si>
    <t>SK-BR-02</t>
  </si>
  <si>
    <t>SK-PL-01</t>
  </si>
  <si>
    <t>SK-PL-02</t>
  </si>
  <si>
    <t>SK-PL-03</t>
  </si>
  <si>
    <t>SK-OR-01</t>
  </si>
  <si>
    <t>SK-OR-02</t>
  </si>
  <si>
    <t>SK-DI-01</t>
  </si>
  <si>
    <t>BE-BR-01</t>
  </si>
  <si>
    <t>Berries</t>
  </si>
  <si>
    <t>Moneda</t>
  </si>
  <si>
    <t>BE-BR-02</t>
  </si>
  <si>
    <t>BE-PL-01</t>
  </si>
  <si>
    <t>BE-OR-01</t>
  </si>
  <si>
    <t>Resumen Banner 1</t>
  </si>
  <si>
    <t>Probabilidad sugerida</t>
  </si>
  <si>
    <t>Total recompensas</t>
  </si>
  <si>
    <t>Total</t>
  </si>
  <si>
    <t>Pity sugerido</t>
  </si>
  <si>
    <t>Valor</t>
  </si>
  <si>
    <t>Uso</t>
  </si>
  <si>
    <t>Sin diamante</t>
  </si>
  <si>
    <t>60 tiradas</t>
  </si>
  <si>
    <t>Protección suave</t>
  </si>
  <si>
    <t>30 tiradas sin diamante → oro/diamante</t>
  </si>
  <si>
    <t>Solo objeto/skin memorable</t>
  </si>
  <si>
    <t>Romo</t>
  </si>
  <si>
    <t>Charko</t>
  </si>
  <si>
    <t>Cojinho</t>
  </si>
  <si>
    <t>Humano</t>
  </si>
  <si>
    <t>Xavisu</t>
  </si>
  <si>
    <t>Sicari</t>
  </si>
  <si>
    <t>Joselu</t>
  </si>
  <si>
    <t>Semidimoni</t>
  </si>
  <si>
    <t>Suma +4 si juega lila</t>
  </si>
  <si>
    <t>Suma +4 si juega amarillo</t>
  </si>
  <si>
    <t>Suma +4 si juega rojo</t>
  </si>
  <si>
    <t>Suma +4 si juega negro</t>
  </si>
  <si>
    <t>Las victorias del jugador suman +4 puntos.</t>
  </si>
  <si>
    <t>Las derrotas de este jugador no restan puntos.</t>
  </si>
  <si>
    <t>Jugador protegido a clausula de miercoles a viernes.</t>
  </si>
  <si>
    <t>Si el jugador hace top 8, +8 puntos.</t>
  </si>
  <si>
    <t>Suma +2 si juega un lider offmeta.</t>
  </si>
  <si>
    <t>Suma +2 puntos si juega un Sichibukai.</t>
  </si>
  <si>
    <t>Suma +2 puntos si juega un Yonkou.</t>
  </si>
  <si>
    <t>Suma +3 puntos por cada Barateamer.</t>
  </si>
  <si>
    <t>Suma +3 puntos por cada Laboomer.</t>
  </si>
  <si>
    <t>Si no ha ganado ninguna partida, suma +4 por derrota.</t>
  </si>
  <si>
    <t>Si te hacen clausulazo, recibes x2 de su valor.</t>
  </si>
  <si>
    <t>Si el jugador es suplente, suma +2 punto a la jornada.</t>
  </si>
  <si>
    <t>Si queda por debajo de top 20, +10 puntos.</t>
  </si>
  <si>
    <t>Suma +2 puntos por jornada.</t>
  </si>
  <si>
    <t>Suma +3 puntos por jornada.</t>
  </si>
  <si>
    <t>Suma +4 puntos por jornada.</t>
  </si>
  <si>
    <t>Suma +5 puntos por jornada. Si no ha perdido ninguna partida, duplica la puntuación.</t>
  </si>
  <si>
    <t>Si es suplente, al resto de jugadores les resta una derrota.</t>
  </si>
  <si>
    <t>Una derrota no resta puntos por jornada.</t>
  </si>
  <si>
    <t>Si no asiste al torneo +5 puntos.</t>
  </si>
  <si>
    <t>Suma +2 puntos por torneo seguido jugado.</t>
  </si>
  <si>
    <t>Suma +2 puntos por cada jornada no asistida seguida</t>
  </si>
  <si>
    <t>Si queda por debajo del top 16, suma +4 puntos.</t>
  </si>
  <si>
    <t>Si todos los miembros activos de la jornada son del mismo equipo, suma +4 puntos.</t>
  </si>
  <si>
    <t>Aura Púrpura</t>
  </si>
  <si>
    <t>Bendición del Amarillo</t>
  </si>
  <si>
    <t>Furia Roja</t>
  </si>
  <si>
    <t>Voluntad Oscura</t>
  </si>
  <si>
    <t>Racha del Tryhard</t>
  </si>
  <si>
    <t>Premio al Desaparecido</t>
  </si>
  <si>
    <t>Entrada al Top Cut</t>
  </si>
  <si>
    <t>Corona del Carry</t>
  </si>
  <si>
    <t>Seguro Antiderrota</t>
  </si>
  <si>
    <t>Excusa Perfecta</t>
  </si>
  <si>
    <t>Combo de Nakamas</t>
  </si>
  <si>
    <t>Blindaje Anticláusula</t>
  </si>
  <si>
    <t>Banquillo de Lujo</t>
  </si>
  <si>
    <t>Paracaídas del Top 16</t>
  </si>
  <si>
    <t>Escudo del Perdedor</t>
  </si>
  <si>
    <t>Candado Antimercado</t>
  </si>
  <si>
    <t>Apuesta Offmeta</t>
  </si>
  <si>
    <t>Pacto Shichibukai</t>
  </si>
  <si>
    <t>Marca del Yonkou</t>
  </si>
  <si>
    <t>Humillación Rentable</t>
  </si>
  <si>
    <t>Maldición del Suplente</t>
  </si>
  <si>
    <t>Derrota Productiva</t>
  </si>
  <si>
    <t>Buff Barateamer</t>
  </si>
  <si>
    <t>Bendición Laboomer</t>
  </si>
  <si>
    <t>5000 Berries</t>
  </si>
  <si>
    <t>12000 Berries</t>
  </si>
  <si>
    <t>50000 Berries</t>
  </si>
  <si>
    <t>Bolsa de 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</si>
</sst>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color rgb="FF7C2D12"/>
      <name val="Carlito"/>
    </font>
    <font>
      <b/>
      <sz val="11"/>
      <color rgb="FFFFFFF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7C2D12"/>
      </patternFill>
    </fill>
    <fill>
      <patternFill patternType="solid">
        <fgColor rgb="FFFED7AA"/>
      </patternFill>
    </fill>
    <fill>
      <patternFill patternType="solid">
        <fgColor rgb="FF111827"/>
      </patternFill>
    </fill>
    <fill>
      <patternFill patternType="solid">
        <fgColor rgb="FFFEFCE8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 wrapText="1"/>
    </xf>
    <xf numFmtId="9" fontId="0" fillId="0" borderId="0" xfId="0" applyNumberFormat="1" applyAlignment="1">
      <alignment vertical="top"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ner1Table" displayName="Banner1Table" ref="A4:F40">
  <tableColumns count="6">
    <tableColumn id="1" xr3:uid="{00000000-0010-0000-0000-000001000000}" name="ID"/>
    <tableColumn id="2" xr3:uid="{00000000-0010-0000-0000-000002000000}" name="Tipo"/>
    <tableColumn id="3" xr3:uid="{00000000-0010-0000-0000-000003000000}" name="Categoría / slot"/>
    <tableColumn id="4" xr3:uid="{00000000-0010-0000-0000-000004000000}" name="Tier"/>
    <tableColumn id="5" xr3:uid="{00000000-0010-0000-0000-000005000000}" name="Nombre"/>
    <tableColumn id="6" xr3:uid="{00000000-0010-0000-0000-000006000000}" name="Efe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="90" zoomScaleNormal="90" workbookViewId="0">
      <selection activeCell="E37" sqref="E37:E40"/>
    </sheetView>
  </sheetViews>
  <sheetFormatPr baseColWidth="10" defaultColWidth="8.6640625" defaultRowHeight="14"/>
  <cols>
    <col min="1" max="1" width="16" customWidth="1"/>
    <col min="2" max="2" width="13" customWidth="1"/>
    <col min="3" max="3" width="18" customWidth="1"/>
    <col min="4" max="4" width="12" customWidth="1"/>
    <col min="5" max="5" width="28" customWidth="1"/>
    <col min="6" max="6" width="53.1640625" customWidth="1"/>
    <col min="7" max="7" width="42" customWidth="1"/>
  </cols>
  <sheetData>
    <row r="1" spans="1:7" ht="20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</row>
    <row r="2" spans="1:7" ht="14.5">
      <c r="A2" s="16" t="s">
        <v>1</v>
      </c>
      <c r="B2" s="16" t="s">
        <v>1</v>
      </c>
      <c r="C2" s="16" t="s">
        <v>1</v>
      </c>
      <c r="D2" s="16" t="s">
        <v>1</v>
      </c>
      <c r="E2" s="16" t="s">
        <v>1</v>
      </c>
      <c r="F2" s="16" t="s">
        <v>1</v>
      </c>
      <c r="G2" s="16" t="s">
        <v>1</v>
      </c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>
      <c r="A5" s="2" t="s">
        <v>8</v>
      </c>
      <c r="B5" s="7" t="s">
        <v>9</v>
      </c>
      <c r="C5" s="9" t="s">
        <v>10</v>
      </c>
      <c r="D5" s="9" t="s">
        <v>11</v>
      </c>
      <c r="E5" s="3" t="s">
        <v>104</v>
      </c>
      <c r="F5" s="3" t="s">
        <v>76</v>
      </c>
    </row>
    <row r="6" spans="1:7">
      <c r="A6" s="2" t="s">
        <v>12</v>
      </c>
      <c r="B6" s="7" t="s">
        <v>9</v>
      </c>
      <c r="C6" s="9" t="s">
        <v>10</v>
      </c>
      <c r="D6" s="9" t="s">
        <v>11</v>
      </c>
      <c r="E6" s="3" t="s">
        <v>105</v>
      </c>
      <c r="F6" s="3" t="s">
        <v>77</v>
      </c>
    </row>
    <row r="7" spans="1:7">
      <c r="A7" s="2" t="s">
        <v>13</v>
      </c>
      <c r="B7" s="7" t="s">
        <v>9</v>
      </c>
      <c r="C7" s="9" t="s">
        <v>10</v>
      </c>
      <c r="D7" s="9" t="s">
        <v>11</v>
      </c>
      <c r="E7" s="3" t="s">
        <v>106</v>
      </c>
      <c r="F7" s="3" t="s">
        <v>78</v>
      </c>
    </row>
    <row r="8" spans="1:7">
      <c r="A8" s="2" t="s">
        <v>14</v>
      </c>
      <c r="B8" s="7" t="s">
        <v>9</v>
      </c>
      <c r="C8" s="9" t="s">
        <v>10</v>
      </c>
      <c r="D8" s="9" t="s">
        <v>11</v>
      </c>
      <c r="E8" s="3" t="s">
        <v>107</v>
      </c>
      <c r="F8" s="3" t="s">
        <v>79</v>
      </c>
    </row>
    <row r="9" spans="1:7">
      <c r="A9" s="2" t="s">
        <v>15</v>
      </c>
      <c r="B9" s="7" t="s">
        <v>9</v>
      </c>
      <c r="C9" s="9" t="s">
        <v>10</v>
      </c>
      <c r="D9" s="13" t="s">
        <v>16</v>
      </c>
      <c r="E9" s="3" t="s">
        <v>108</v>
      </c>
      <c r="F9" s="3" t="s">
        <v>100</v>
      </c>
    </row>
    <row r="10" spans="1:7">
      <c r="A10" s="2" t="s">
        <v>17</v>
      </c>
      <c r="B10" s="7" t="s">
        <v>9</v>
      </c>
      <c r="C10" s="9" t="s">
        <v>10</v>
      </c>
      <c r="D10" s="13" t="s">
        <v>16</v>
      </c>
      <c r="E10" s="3" t="s">
        <v>109</v>
      </c>
      <c r="F10" s="3" t="s">
        <v>101</v>
      </c>
    </row>
    <row r="11" spans="1:7">
      <c r="A11" s="2" t="s">
        <v>18</v>
      </c>
      <c r="B11" s="7" t="s">
        <v>9</v>
      </c>
      <c r="C11" s="9" t="s">
        <v>10</v>
      </c>
      <c r="D11" s="7" t="s">
        <v>19</v>
      </c>
      <c r="E11" s="3" t="s">
        <v>110</v>
      </c>
      <c r="F11" s="3" t="s">
        <v>83</v>
      </c>
    </row>
    <row r="12" spans="1:7">
      <c r="A12" s="2" t="s">
        <v>20</v>
      </c>
      <c r="B12" s="7" t="s">
        <v>9</v>
      </c>
      <c r="C12" s="9" t="s">
        <v>10</v>
      </c>
      <c r="D12" s="14" t="s">
        <v>21</v>
      </c>
      <c r="E12" s="3" t="s">
        <v>111</v>
      </c>
      <c r="F12" s="3" t="s">
        <v>80</v>
      </c>
    </row>
    <row r="13" spans="1:7">
      <c r="A13" s="2" t="s">
        <v>22</v>
      </c>
      <c r="B13" s="7" t="s">
        <v>9</v>
      </c>
      <c r="C13" s="10" t="s">
        <v>23</v>
      </c>
      <c r="D13" s="9" t="s">
        <v>11</v>
      </c>
      <c r="E13" s="3" t="s">
        <v>112</v>
      </c>
      <c r="F13" s="3" t="s">
        <v>98</v>
      </c>
    </row>
    <row r="14" spans="1:7">
      <c r="A14" s="2" t="s">
        <v>24</v>
      </c>
      <c r="B14" s="7" t="s">
        <v>9</v>
      </c>
      <c r="C14" s="10" t="s">
        <v>23</v>
      </c>
      <c r="D14" s="9" t="s">
        <v>11</v>
      </c>
      <c r="E14" s="3" t="s">
        <v>113</v>
      </c>
      <c r="F14" s="3" t="s">
        <v>99</v>
      </c>
    </row>
    <row r="15" spans="1:7" ht="28">
      <c r="A15" s="2" t="s">
        <v>25</v>
      </c>
      <c r="B15" s="7" t="s">
        <v>9</v>
      </c>
      <c r="C15" s="10" t="s">
        <v>23</v>
      </c>
      <c r="D15" s="9" t="s">
        <v>11</v>
      </c>
      <c r="E15" s="3" t="s">
        <v>114</v>
      </c>
      <c r="F15" s="3" t="s">
        <v>103</v>
      </c>
    </row>
    <row r="16" spans="1:7">
      <c r="A16" s="2" t="s">
        <v>26</v>
      </c>
      <c r="B16" s="7" t="s">
        <v>9</v>
      </c>
      <c r="C16" s="10" t="s">
        <v>23</v>
      </c>
      <c r="D16" s="13" t="s">
        <v>16</v>
      </c>
      <c r="E16" s="3" t="s">
        <v>115</v>
      </c>
      <c r="F16" s="3" t="s">
        <v>90</v>
      </c>
    </row>
    <row r="17" spans="1:6">
      <c r="A17" s="2" t="s">
        <v>27</v>
      </c>
      <c r="B17" s="7" t="s">
        <v>9</v>
      </c>
      <c r="C17" s="10" t="s">
        <v>23</v>
      </c>
      <c r="D17" s="13" t="s">
        <v>16</v>
      </c>
      <c r="E17" s="3" t="s">
        <v>116</v>
      </c>
      <c r="F17" s="3" t="s">
        <v>91</v>
      </c>
    </row>
    <row r="18" spans="1:6">
      <c r="A18" s="2" t="s">
        <v>28</v>
      </c>
      <c r="B18" s="7" t="s">
        <v>9</v>
      </c>
      <c r="C18" s="10" t="s">
        <v>23</v>
      </c>
      <c r="D18" s="13" t="s">
        <v>16</v>
      </c>
      <c r="E18" s="3" t="s">
        <v>117</v>
      </c>
      <c r="F18" s="3" t="s">
        <v>102</v>
      </c>
    </row>
    <row r="19" spans="1:6">
      <c r="A19" s="2" t="s">
        <v>29</v>
      </c>
      <c r="B19" s="7" t="s">
        <v>9</v>
      </c>
      <c r="C19" s="10" t="s">
        <v>23</v>
      </c>
      <c r="D19" s="7" t="s">
        <v>19</v>
      </c>
      <c r="E19" s="3" t="s">
        <v>118</v>
      </c>
      <c r="F19" s="3" t="s">
        <v>81</v>
      </c>
    </row>
    <row r="20" spans="1:6">
      <c r="A20" s="2" t="s">
        <v>30</v>
      </c>
      <c r="B20" s="7" t="s">
        <v>9</v>
      </c>
      <c r="C20" s="10" t="s">
        <v>23</v>
      </c>
      <c r="D20" s="7" t="s">
        <v>19</v>
      </c>
      <c r="E20" s="3" t="s">
        <v>119</v>
      </c>
      <c r="F20" s="3" t="s">
        <v>82</v>
      </c>
    </row>
    <row r="21" spans="1:6">
      <c r="A21" s="2" t="s">
        <v>31</v>
      </c>
      <c r="B21" s="7" t="s">
        <v>9</v>
      </c>
      <c r="C21" s="11" t="s">
        <v>32</v>
      </c>
      <c r="D21" s="9" t="s">
        <v>11</v>
      </c>
      <c r="E21" s="3" t="s">
        <v>120</v>
      </c>
      <c r="F21" s="3" t="s">
        <v>84</v>
      </c>
    </row>
    <row r="22" spans="1:6">
      <c r="A22" s="2" t="s">
        <v>33</v>
      </c>
      <c r="B22" s="7" t="s">
        <v>9</v>
      </c>
      <c r="C22" s="11" t="s">
        <v>32</v>
      </c>
      <c r="D22" s="9" t="s">
        <v>11</v>
      </c>
      <c r="E22" s="3" t="s">
        <v>121</v>
      </c>
      <c r="F22" s="3" t="s">
        <v>85</v>
      </c>
    </row>
    <row r="23" spans="1:6">
      <c r="A23" s="2" t="s">
        <v>34</v>
      </c>
      <c r="B23" s="7" t="s">
        <v>9</v>
      </c>
      <c r="C23" s="11" t="s">
        <v>32</v>
      </c>
      <c r="D23" s="9" t="s">
        <v>11</v>
      </c>
      <c r="E23" s="3" t="s">
        <v>122</v>
      </c>
      <c r="F23" s="3" t="s">
        <v>86</v>
      </c>
    </row>
    <row r="24" spans="1:6">
      <c r="A24" s="2" t="s">
        <v>35</v>
      </c>
      <c r="B24" s="7" t="s">
        <v>9</v>
      </c>
      <c r="C24" s="11" t="s">
        <v>32</v>
      </c>
      <c r="D24" s="13" t="s">
        <v>16</v>
      </c>
      <c r="E24" s="3" t="s">
        <v>123</v>
      </c>
      <c r="F24" s="3" t="s">
        <v>92</v>
      </c>
    </row>
    <row r="25" spans="1:6">
      <c r="A25" s="2" t="s">
        <v>36</v>
      </c>
      <c r="B25" s="7" t="s">
        <v>9</v>
      </c>
      <c r="C25" s="11" t="s">
        <v>32</v>
      </c>
      <c r="D25" s="13" t="s">
        <v>16</v>
      </c>
      <c r="E25" s="3" t="s">
        <v>124</v>
      </c>
      <c r="F25" s="3" t="s">
        <v>97</v>
      </c>
    </row>
    <row r="26" spans="1:6">
      <c r="A26" s="2" t="s">
        <v>37</v>
      </c>
      <c r="B26" s="7" t="s">
        <v>9</v>
      </c>
      <c r="C26" s="11" t="s">
        <v>32</v>
      </c>
      <c r="D26" s="13" t="s">
        <v>16</v>
      </c>
      <c r="E26" s="3" t="s">
        <v>125</v>
      </c>
      <c r="F26" s="3" t="s">
        <v>89</v>
      </c>
    </row>
    <row r="27" spans="1:6">
      <c r="A27" s="2" t="s">
        <v>38</v>
      </c>
      <c r="B27" s="7" t="s">
        <v>9</v>
      </c>
      <c r="C27" s="11" t="s">
        <v>32</v>
      </c>
      <c r="D27" s="7" t="s">
        <v>19</v>
      </c>
      <c r="E27" s="3" t="s">
        <v>126</v>
      </c>
      <c r="F27" s="3" t="s">
        <v>87</v>
      </c>
    </row>
    <row r="28" spans="1:6">
      <c r="A28" s="2" t="s">
        <v>39</v>
      </c>
      <c r="B28" s="7" t="s">
        <v>9</v>
      </c>
      <c r="C28" s="11" t="s">
        <v>32</v>
      </c>
      <c r="D28" s="7" t="s">
        <v>19</v>
      </c>
      <c r="E28" s="3" t="s">
        <v>127</v>
      </c>
      <c r="F28" s="3" t="s">
        <v>88</v>
      </c>
    </row>
    <row r="29" spans="1:6">
      <c r="A29" s="2" t="s">
        <v>40</v>
      </c>
      <c r="B29" s="8" t="s">
        <v>41</v>
      </c>
      <c r="C29" s="12" t="s">
        <v>42</v>
      </c>
      <c r="D29" s="9" t="s">
        <v>11</v>
      </c>
      <c r="E29" s="3" t="s">
        <v>75</v>
      </c>
      <c r="F29" s="3" t="s">
        <v>93</v>
      </c>
    </row>
    <row r="30" spans="1:6">
      <c r="A30" s="2" t="s">
        <v>43</v>
      </c>
      <c r="B30" s="8" t="s">
        <v>41</v>
      </c>
      <c r="C30" s="12" t="s">
        <v>42</v>
      </c>
      <c r="D30" s="9" t="s">
        <v>11</v>
      </c>
      <c r="E30" s="3" t="s">
        <v>74</v>
      </c>
      <c r="F30" s="3" t="s">
        <v>93</v>
      </c>
    </row>
    <row r="31" spans="1:6">
      <c r="A31" s="2" t="s">
        <v>44</v>
      </c>
      <c r="B31" s="8" t="s">
        <v>41</v>
      </c>
      <c r="C31" s="12" t="s">
        <v>42</v>
      </c>
      <c r="D31" s="13" t="s">
        <v>16</v>
      </c>
      <c r="E31" s="3" t="s">
        <v>68</v>
      </c>
      <c r="F31" s="3" t="s">
        <v>94</v>
      </c>
    </row>
    <row r="32" spans="1:6">
      <c r="A32" s="2" t="s">
        <v>45</v>
      </c>
      <c r="B32" s="8" t="s">
        <v>41</v>
      </c>
      <c r="C32" s="12" t="s">
        <v>42</v>
      </c>
      <c r="D32" s="13" t="s">
        <v>16</v>
      </c>
      <c r="E32" s="3" t="s">
        <v>73</v>
      </c>
      <c r="F32" s="3" t="s">
        <v>94</v>
      </c>
    </row>
    <row r="33" spans="1:6">
      <c r="A33" s="2" t="s">
        <v>46</v>
      </c>
      <c r="B33" s="8" t="s">
        <v>41</v>
      </c>
      <c r="C33" s="12" t="s">
        <v>42</v>
      </c>
      <c r="D33" s="13" t="s">
        <v>16</v>
      </c>
      <c r="E33" s="3" t="s">
        <v>72</v>
      </c>
      <c r="F33" s="3" t="s">
        <v>94</v>
      </c>
    </row>
    <row r="34" spans="1:6">
      <c r="A34" s="2" t="s">
        <v>47</v>
      </c>
      <c r="B34" s="8" t="s">
        <v>41</v>
      </c>
      <c r="C34" s="12" t="s">
        <v>42</v>
      </c>
      <c r="D34" s="7" t="s">
        <v>19</v>
      </c>
      <c r="E34" s="3" t="s">
        <v>71</v>
      </c>
      <c r="F34" s="3" t="s">
        <v>95</v>
      </c>
    </row>
    <row r="35" spans="1:6">
      <c r="A35" s="2" t="s">
        <v>48</v>
      </c>
      <c r="B35" s="8" t="s">
        <v>41</v>
      </c>
      <c r="C35" s="12" t="s">
        <v>42</v>
      </c>
      <c r="D35" s="7" t="s">
        <v>19</v>
      </c>
      <c r="E35" s="3" t="s">
        <v>70</v>
      </c>
      <c r="F35" s="3" t="s">
        <v>95</v>
      </c>
    </row>
    <row r="36" spans="1:6" ht="28">
      <c r="A36" s="2" t="s">
        <v>49</v>
      </c>
      <c r="B36" s="8" t="s">
        <v>41</v>
      </c>
      <c r="C36" s="12" t="s">
        <v>42</v>
      </c>
      <c r="D36" s="14" t="s">
        <v>21</v>
      </c>
      <c r="E36" s="3" t="s">
        <v>69</v>
      </c>
      <c r="F36" s="3" t="s">
        <v>96</v>
      </c>
    </row>
    <row r="37" spans="1:6">
      <c r="A37" s="2" t="s">
        <v>50</v>
      </c>
      <c r="B37" s="2" t="s">
        <v>51</v>
      </c>
      <c r="C37" s="2" t="s">
        <v>52</v>
      </c>
      <c r="D37" s="9" t="s">
        <v>11</v>
      </c>
      <c r="E37" s="3" t="s">
        <v>131</v>
      </c>
      <c r="F37" s="3" t="s">
        <v>128</v>
      </c>
    </row>
    <row r="38" spans="1:6">
      <c r="A38" s="2" t="s">
        <v>53</v>
      </c>
      <c r="B38" s="2" t="s">
        <v>51</v>
      </c>
      <c r="C38" s="2" t="s">
        <v>52</v>
      </c>
      <c r="D38" s="9" t="s">
        <v>11</v>
      </c>
      <c r="E38" s="3" t="s">
        <v>131</v>
      </c>
      <c r="F38" s="3" t="s">
        <v>128</v>
      </c>
    </row>
    <row r="39" spans="1:6">
      <c r="A39" s="2" t="s">
        <v>54</v>
      </c>
      <c r="B39" s="2" t="s">
        <v>51</v>
      </c>
      <c r="C39" s="2" t="s">
        <v>52</v>
      </c>
      <c r="D39" s="13" t="s">
        <v>16</v>
      </c>
      <c r="E39" s="3" t="s">
        <v>131</v>
      </c>
      <c r="F39" s="3" t="s">
        <v>129</v>
      </c>
    </row>
    <row r="40" spans="1:6">
      <c r="A40" s="2" t="s">
        <v>55</v>
      </c>
      <c r="B40" s="2" t="s">
        <v>51</v>
      </c>
      <c r="C40" s="2" t="s">
        <v>52</v>
      </c>
      <c r="D40" s="7" t="s">
        <v>19</v>
      </c>
      <c r="E40" s="3" t="s">
        <v>131</v>
      </c>
      <c r="F40" s="3" t="s">
        <v>130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6640625" defaultRowHeight="14"/>
  <cols>
    <col min="1" max="5" width="22" customWidth="1"/>
    <col min="6" max="6" width="36" customWidth="1"/>
  </cols>
  <sheetData>
    <row r="1" spans="1:6">
      <c r="A1" s="17" t="s">
        <v>56</v>
      </c>
      <c r="B1" s="17" t="s">
        <v>56</v>
      </c>
      <c r="C1" s="17" t="s">
        <v>56</v>
      </c>
      <c r="D1" s="17" t="s">
        <v>56</v>
      </c>
      <c r="E1" s="17" t="s">
        <v>56</v>
      </c>
      <c r="F1" s="17" t="s">
        <v>56</v>
      </c>
    </row>
    <row r="2" spans="1:6">
      <c r="A2" s="4"/>
      <c r="B2" s="4"/>
      <c r="C2" s="4"/>
      <c r="D2" s="4"/>
      <c r="E2" s="4"/>
      <c r="F2" s="4"/>
    </row>
    <row r="3" spans="1:6">
      <c r="A3" s="5" t="s">
        <v>5</v>
      </c>
      <c r="B3" s="5" t="s">
        <v>57</v>
      </c>
      <c r="C3" s="5" t="s">
        <v>58</v>
      </c>
      <c r="D3" s="4"/>
      <c r="E3" s="5" t="s">
        <v>3</v>
      </c>
      <c r="F3" s="5" t="s">
        <v>59</v>
      </c>
    </row>
    <row r="4" spans="1:6">
      <c r="A4" s="4" t="s">
        <v>11</v>
      </c>
      <c r="B4" s="6">
        <v>0.6</v>
      </c>
      <c r="C4" s="4">
        <f>COUNTIF('Banner 1'!$D:$D,A4)</f>
        <v>14</v>
      </c>
      <c r="D4" s="4"/>
      <c r="E4" s="4" t="s">
        <v>9</v>
      </c>
      <c r="F4" s="4">
        <f>COUNTIF('Banner 1'!$B:$B,E4)</f>
        <v>24</v>
      </c>
    </row>
    <row r="5" spans="1:6">
      <c r="A5" s="4" t="s">
        <v>16</v>
      </c>
      <c r="B5" s="6">
        <v>0.28000000000000003</v>
      </c>
      <c r="C5" s="4">
        <f>COUNTIF('Banner 1'!$D:$D,A5)</f>
        <v>12</v>
      </c>
      <c r="D5" s="4"/>
      <c r="E5" s="4" t="s">
        <v>41</v>
      </c>
      <c r="F5" s="4">
        <f>COUNTIF('Banner 1'!$B:$B,E5)</f>
        <v>8</v>
      </c>
    </row>
    <row r="6" spans="1:6">
      <c r="A6" s="4" t="s">
        <v>19</v>
      </c>
      <c r="B6" s="6">
        <v>0.1</v>
      </c>
      <c r="C6" s="4">
        <f>COUNTIF('Banner 1'!$D:$D,A6)</f>
        <v>8</v>
      </c>
      <c r="D6" s="4"/>
      <c r="E6" s="4" t="s">
        <v>51</v>
      </c>
      <c r="F6" s="4">
        <f>COUNTIF('Banner 1'!$B:$B,E6)</f>
        <v>4</v>
      </c>
    </row>
    <row r="7" spans="1:6">
      <c r="A7" s="4" t="s">
        <v>21</v>
      </c>
      <c r="B7" s="6">
        <v>0.02</v>
      </c>
      <c r="C7" s="4">
        <f>COUNTIF('Banner 1'!$D:$D,A7)</f>
        <v>2</v>
      </c>
      <c r="D7" s="4"/>
      <c r="E7" s="4"/>
      <c r="F7" s="4"/>
    </row>
    <row r="8" spans="1:6">
      <c r="A8" s="4" t="s">
        <v>59</v>
      </c>
      <c r="B8" s="6">
        <v>1</v>
      </c>
      <c r="C8" s="4">
        <f>SUM(C4:C7)</f>
        <v>36</v>
      </c>
      <c r="D8" s="4"/>
      <c r="E8" s="4"/>
      <c r="F8" s="4"/>
    </row>
    <row r="9" spans="1:6">
      <c r="A9" s="4"/>
      <c r="B9" s="4"/>
      <c r="C9" s="4"/>
      <c r="D9" s="4"/>
      <c r="E9" s="5" t="s">
        <v>60</v>
      </c>
      <c r="F9" s="5" t="s">
        <v>61</v>
      </c>
    </row>
    <row r="10" spans="1:6">
      <c r="A10" s="5" t="s">
        <v>4</v>
      </c>
      <c r="B10" s="5" t="s">
        <v>59</v>
      </c>
      <c r="C10" s="5" t="s">
        <v>62</v>
      </c>
      <c r="D10" s="4"/>
      <c r="E10" s="4" t="s">
        <v>63</v>
      </c>
      <c r="F10" s="4" t="s">
        <v>64</v>
      </c>
    </row>
    <row r="11" spans="1:6">
      <c r="A11" s="4" t="s">
        <v>10</v>
      </c>
      <c r="B11" s="4">
        <f>COUNTIF('Banner 1'!$C:$C,A11)</f>
        <v>8</v>
      </c>
      <c r="C11" s="4" t="s">
        <v>9</v>
      </c>
      <c r="D11" s="4"/>
      <c r="E11" s="4" t="s">
        <v>65</v>
      </c>
      <c r="F11" s="4" t="s">
        <v>66</v>
      </c>
    </row>
    <row r="12" spans="1:6">
      <c r="A12" s="4" t="s">
        <v>23</v>
      </c>
      <c r="B12" s="4">
        <f>COUNTIF('Banner 1'!$C:$C,A12)</f>
        <v>8</v>
      </c>
      <c r="C12" s="4" t="s">
        <v>9</v>
      </c>
      <c r="D12" s="4"/>
      <c r="E12" s="4" t="s">
        <v>21</v>
      </c>
      <c r="F12" s="4" t="s">
        <v>67</v>
      </c>
    </row>
    <row r="13" spans="1:6">
      <c r="A13" s="4" t="s">
        <v>32</v>
      </c>
      <c r="B13" s="4">
        <f>COUNTIF('Banner 1'!$C:$C,A13)</f>
        <v>8</v>
      </c>
      <c r="C13" s="4" t="s">
        <v>9</v>
      </c>
      <c r="D13" s="4"/>
      <c r="E13" s="4"/>
      <c r="F13" s="4"/>
    </row>
    <row r="14" spans="1:6">
      <c r="A14" s="4" t="s">
        <v>42</v>
      </c>
      <c r="B14" s="4">
        <f>COUNTIF('Banner 1'!$C:$C,A14)</f>
        <v>8</v>
      </c>
      <c r="C14" s="4" t="s">
        <v>41</v>
      </c>
      <c r="D14" s="4"/>
      <c r="E14" s="4"/>
      <c r="F14" s="4"/>
    </row>
  </sheetData>
  <mergeCells count="1">
    <mergeCell ref="A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17d95b-dfe3-43ca-aac4-b4ba4b847d4d}" enabled="1" method="Standard" siteId="{6175d210-b772-480e-9894-6ab2970b00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Banner 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Ernest Gladiador Valderrama</cp:lastModifiedBy>
  <dcterms:modified xsi:type="dcterms:W3CDTF">2026-05-28T10:34:48Z</dcterms:modified>
</cp:coreProperties>
</file>